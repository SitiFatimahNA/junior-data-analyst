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<sst xmlns="http://schemas.openxmlformats.org/spreadsheetml/2006/main" count="65" uniqueCount="58">
  <si>
    <t xml:space="preserve">DATA AGREGAT — Sumber: Superstore Sales Dataset (8.399 baris transaksi riil)</t>
  </si>
  <si>
    <t xml:space="preserve">Baseline: Nov 2010–Feb 2011 | Decline: Mar–Jun 2011. Semua angka $ dan unit lain dihitung langsung dari dataset asli (bukan estimasi).</t>
  </si>
  <si>
    <t xml:space="preserve">Tabel 1: Sales Trend Bulanan (Nov 2010 – Jun 2011)</t>
  </si>
  <si>
    <t xml:space="preserve">Bulan</t>
  </si>
  <si>
    <t xml:space="preserve">Total Sales ($)</t>
  </si>
  <si>
    <t xml:space="preserve">Nov-10</t>
  </si>
  <si>
    <t xml:space="preserve">Des-10</t>
  </si>
  <si>
    <t xml:space="preserve">Jan-11</t>
  </si>
  <si>
    <t xml:space="preserve">Feb-11</t>
  </si>
  <si>
    <t xml:space="preserve">Mar-11</t>
  </si>
  <si>
    <t xml:space="preserve">Apr-11</t>
  </si>
  <si>
    <t xml:space="preserve">Mei-11</t>
  </si>
  <si>
    <t xml:space="preserve">Jun-11</t>
  </si>
  <si>
    <t xml:space="preserve">Tabel 2: Regional Performance (rata-rata $/bulan)</t>
  </si>
  <si>
    <t xml:space="preserve">Wilayah</t>
  </si>
  <si>
    <t xml:space="preserve">Baseline</t>
  </si>
  <si>
    <t xml:space="preserve">Decline</t>
  </si>
  <si>
    <t xml:space="preserve">Growth %</t>
  </si>
  <si>
    <t xml:space="preserve">Quebec</t>
  </si>
  <si>
    <t xml:space="preserve">Ontario</t>
  </si>
  <si>
    <t xml:space="preserve">Yukon</t>
  </si>
  <si>
    <t xml:space="preserve">Nunavut</t>
  </si>
  <si>
    <t xml:space="preserve">Atlantic</t>
  </si>
  <si>
    <t xml:space="preserve">Prarie</t>
  </si>
  <si>
    <t xml:space="preserve">West</t>
  </si>
  <si>
    <t xml:space="preserve">Northwest Territories</t>
  </si>
  <si>
    <t xml:space="preserve">Tabel 3: Product Performance (rata-rata $/bulan)</t>
  </si>
  <si>
    <t xml:space="preserve">Kategori</t>
  </si>
  <si>
    <t xml:space="preserve">Furniture</t>
  </si>
  <si>
    <t xml:space="preserve">Office Supplies</t>
  </si>
  <si>
    <t xml:space="preserve">Technology</t>
  </si>
  <si>
    <t xml:space="preserve">Tabel 4: KPI Total (Baseline vs Decline)</t>
  </si>
  <si>
    <t xml:space="preserve">Metrik</t>
  </si>
  <si>
    <t xml:space="preserve">Total Profit ($)</t>
  </si>
  <si>
    <t xml:space="preserve">Total Customers</t>
  </si>
  <si>
    <t xml:space="preserve">Total Orders</t>
  </si>
  <si>
    <t xml:space="preserve">SALES PERFORMANCE DASHBOARD</t>
  </si>
  <si>
    <t xml:space="preserve">PT Edusoft — Studi Kasus Superstore Sales Dataset | Periode: Baseline Nov 2010–Feb 2011 vs Decline Mar–Jun 2011</t>
  </si>
  <si>
    <t xml:space="preserve">Total Sales</t>
  </si>
  <si>
    <t xml:space="preserve">Total Profit</t>
  </si>
  <si>
    <t xml:space="preserve">Total Customer</t>
  </si>
  <si>
    <t xml:space="preserve">Growth % (Sales)</t>
  </si>
  <si>
    <t xml:space="preserve">2. PERFORMANCE</t>
  </si>
  <si>
    <t xml:space="preserve">3. PROBLEM AREA</t>
  </si>
  <si>
    <t xml:space="preserve">Area Masalah</t>
  </si>
  <si>
    <t xml:space="preserve">Temuan (Formula-driven)</t>
  </si>
  <si>
    <t xml:space="preserve">Wilayah dengan performa terendah</t>
  </si>
  <si>
    <t xml:space="preserve">Kategori dengan penurunan terbesar</t>
  </si>
  <si>
    <t xml:space="preserve">Customer segment bermasalah</t>
  </si>
  <si>
    <t xml:space="preserve">Pelanggan bernilai tinggi (high-AOV) di 4 wilayah bermasalah — AOV turun 11,3% meski jumlah pelanggan relatif stabil</t>
  </si>
  <si>
    <t xml:space="preserve">4. KEY INSIGHTS</t>
  </si>
  <si>
    <t xml:space="preserve">1. Penurunan penjualan bersifat REGIONAL, bukan menyeluruh — 4 dari 8 wilayah menyumbang 95,2% dari total penurunan, sementara wilayah lain justru tumbuh.</t>
  </si>
  <si>
    <t xml:space="preserve">2. Penurunan didorong oleh turunnya nilai transaksi (AOV -11,3%), bukan oleh hilangnya pelanggan (hanya -2,7%).</t>
  </si>
  <si>
    <t xml:space="preserve">3. Profit margin justru membaik meski penjualan turun, menyingkirkan dugaan diskon/pricing internal sebagai penyebab — indikasi kuat faktor eksternal di wilayah tertentu.</t>
  </si>
  <si>
    <t xml:space="preserve">5. RECOMMENDATIONS</t>
  </si>
  <si>
    <t xml:space="preserve">1. Investigasi kompetitor &amp; kondisi pasar regional di 4 wilayah prioritas (Quebec, Ontario, Yukon, Nunavut) — dijalankan lebih dulu, cepat &amp; murah.</t>
  </si>
  <si>
    <t xml:space="preserve">2. Luncurkan kampanye promosi tertarget berbasis peningkatan AOV (cross-sell/bundling), bukan diskon flat, agar tidak menekan margin.</t>
  </si>
  <si>
    <t xml:space="preserve">3. Jalankan program retensi/win-back untuk pelanggan bernilai tinggi yang sudah ada di keempat wilayah tersebut.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</si>
</sst>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+0.0%;\-0.0%"/>
    <numFmt numFmtId="167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111827"/>
      <name val="Arial"/>
      <family val="0"/>
      <charset val="1"/>
    </font>
    <font>
      <b val="true"/>
      <sz val="20"/>
      <color rgb="FF1E2761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EA580C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sz val="10.5"/>
      <color rgb="FF1E2761"/>
      <name val="Arial"/>
      <family val="0"/>
      <charset val="1"/>
    </font>
    <font>
      <sz val="10.5"/>
      <color rgb="FFDC2626"/>
      <name val="Arial"/>
      <family val="0"/>
      <charset val="1"/>
    </font>
    <font>
      <sz val="10.5"/>
      <color rgb="FF9A3412"/>
      <name val="Arial"/>
      <family val="0"/>
      <charset val="1"/>
    </font>
    <font>
      <sz val="10.5"/>
      <color rgb="FF1E276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EFF6FF"/>
        <bgColor rgb="FFF7F9FC"/>
      </patternFill>
    </fill>
    <fill>
      <patternFill patternType="solid">
        <fgColor rgb="FFF7F9F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1D5DB"/>
      <rgbColor rgb="FF878787"/>
      <rgbColor rgb="FF9999FF"/>
      <rgbColor rgb="FF993366"/>
      <rgbColor rgb="FFF9F9F9"/>
      <rgbColor rgb="FFEFF6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D9D9D9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6B7280"/>
      <rgbColor rgb="FF969696"/>
      <rgbColor rgb="FF1E2761"/>
      <rgbColor rgb="FF339966"/>
      <rgbColor rgb="FF111827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(Nov 2010 – Jun 2011)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Data!B5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ea580c"/>
            </a:solidFill>
            <a:ln w="24840">
              <a:solidFill>
                <a:srgbClr val="ea580c"/>
              </a:solidFill>
              <a:round/>
            </a:ln>
          </c:spPr>
          <c:marker>
            <c:symbol val="circle"/>
            <c:size val="7"/>
            <c:spPr>
              <a:solidFill>
                <a:srgbClr val="ea580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Data!$A$6:$A$13</c:f>
              <c:strCache>
                <c:ptCount val="8"/>
                <c:pt idx="0">
                  <c:v>Nov-10</c:v>
                </c:pt>
                <c:pt idx="1">
                  <c:v>Des-10</c:v>
                </c:pt>
                <c:pt idx="2">
                  <c:v>Jan-11</c:v>
                </c:pt>
                <c:pt idx="3">
                  <c:v>Feb-11</c:v>
                </c:pt>
                <c:pt idx="4">
                  <c:v>Mar-11</c:v>
                </c:pt>
                <c:pt idx="5">
                  <c:v>Apr-11</c:v>
                </c:pt>
                <c:pt idx="6">
                  <c:v>Mei-11</c:v>
                </c:pt>
                <c:pt idx="7">
                  <c:v>Jun-11</c:v>
                </c:pt>
              </c:strCache>
            </c:strRef>
          </c:cat>
          <c:val>
            <c:numRef>
              <c:f>Data!$B$6:$B$13</c:f>
              <c:numCache>
                <c:formatCode>\$#,##0</c:formatCode>
                <c:ptCount val="8"/>
                <c:pt idx="0">
                  <c:v>290670</c:v>
                </c:pt>
                <c:pt idx="1">
                  <c:v>368094</c:v>
                </c:pt>
                <c:pt idx="2">
                  <c:v>251467</c:v>
                </c:pt>
                <c:pt idx="3">
                  <c:v>299890</c:v>
                </c:pt>
                <c:pt idx="4">
                  <c:v>296036</c:v>
                </c:pt>
                <c:pt idx="5">
                  <c:v>288213</c:v>
                </c:pt>
                <c:pt idx="6">
                  <c:v>262628</c:v>
                </c:pt>
                <c:pt idx="7">
                  <c:v>197741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309434"/>
        <c:axId val="66924469"/>
      </c:lineChart>
      <c:catAx>
        <c:axId val="95309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24469"/>
        <c:crosses val="autoZero"/>
        <c:auto val="1"/>
        <c:lblAlgn val="ctr"/>
        <c:lblOffset val="100"/>
        <c:noMultiLvlLbl val="0"/>
      </c:catAx>
      <c:valAx>
        <c:axId val="669244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094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 Performance (Decline vs 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Data!B29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cadcf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Data!$A$30:$A$32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Data!$B$30:$B$32</c:f>
              <c:numCache>
                <c:formatCode>\$#,##0</c:formatCode>
                <c:ptCount val="3"/>
                <c:pt idx="0">
                  <c:v>108538</c:v>
                </c:pt>
                <c:pt idx="1">
                  <c:v>79210</c:v>
                </c:pt>
                <c:pt idx="2">
                  <c:v>114783</c:v>
                </c:pt>
              </c:numCache>
            </c:numRef>
          </c:val>
        </c:ser>
        <c:ser>
          <c:idx val="1"/>
          <c:order val="1"/>
          <c:tx>
            <c:strRef>
              <c:f>Data!C29</c:f>
              <c:strCache>
                <c:ptCount val="1"/>
                <c:pt idx="0">
                  <c:v>Decline</c:v>
                </c:pt>
              </c:strCache>
            </c:strRef>
          </c:tx>
          <c:spPr>
            <a:solidFill>
              <a:srgbClr val="1e276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Data!$A$30:$A$32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Data!$C$30:$C$32</c:f>
              <c:numCache>
                <c:formatCode>\$#,##0</c:formatCode>
                <c:ptCount val="3"/>
                <c:pt idx="0">
                  <c:v>94369</c:v>
                </c:pt>
                <c:pt idx="1">
                  <c:v>63344</c:v>
                </c:pt>
                <c:pt idx="2">
                  <c:v>103442</c:v>
                </c:pt>
              </c:numCache>
            </c:numRef>
          </c:val>
        </c:ser>
        <c:gapWidth val="150"/>
        <c:overlap val="0"/>
        <c:axId val="3809873"/>
        <c:axId val="80381299"/>
      </c:barChart>
      <c:catAx>
        <c:axId val="38098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81299"/>
        <c:crosses val="autoZero"/>
        <c:auto val="1"/>
        <c:lblAlgn val="ctr"/>
        <c:lblOffset val="100"/>
        <c:noMultiLvlLbl val="0"/>
      </c:catAx>
      <c:valAx>
        <c:axId val="80381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($/bln)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9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Performance (Decline vs 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Data!B17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cadcf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Data!$A$18:$A$25</c:f>
              <c:strCache>
                <c:ptCount val="8"/>
                <c:pt idx="0">
                  <c:v>Quebec</c:v>
                </c:pt>
                <c:pt idx="1">
                  <c:v>Ontario</c:v>
                </c:pt>
                <c:pt idx="2">
                  <c:v>Yukon</c:v>
                </c:pt>
                <c:pt idx="3">
                  <c:v>Nunavut</c:v>
                </c:pt>
                <c:pt idx="4">
                  <c:v>Atlantic</c:v>
                </c:pt>
                <c:pt idx="5">
                  <c:v>Prarie</c:v>
                </c:pt>
                <c:pt idx="6">
                  <c:v>West</c:v>
                </c:pt>
                <c:pt idx="7">
                  <c:v>Northwest Territories</c:v>
                </c:pt>
              </c:strCache>
            </c:strRef>
          </c:cat>
          <c:val>
            <c:numRef>
              <c:f>Data!$B$18:$B$25</c:f>
              <c:numCache>
                <c:formatCode>\$#,##0</c:formatCode>
                <c:ptCount val="8"/>
                <c:pt idx="0">
                  <c:v>36572</c:v>
                </c:pt>
                <c:pt idx="1">
                  <c:v>73253</c:v>
                </c:pt>
                <c:pt idx="2">
                  <c:v>35593</c:v>
                </c:pt>
                <c:pt idx="3">
                  <c:v>9329</c:v>
                </c:pt>
                <c:pt idx="4">
                  <c:v>34832</c:v>
                </c:pt>
                <c:pt idx="5">
                  <c:v>53922</c:v>
                </c:pt>
                <c:pt idx="6">
                  <c:v>49809</c:v>
                </c:pt>
                <c:pt idx="7">
                  <c:v>11554</c:v>
                </c:pt>
              </c:numCache>
            </c:numRef>
          </c:val>
        </c:ser>
        <c:ser>
          <c:idx val="1"/>
          <c:order val="1"/>
          <c:tx>
            <c:strRef>
              <c:f>Data!C17</c:f>
              <c:strCache>
                <c:ptCount val="1"/>
                <c:pt idx="0">
                  <c:v>Decline</c:v>
                </c:pt>
              </c:strCache>
            </c:strRef>
          </c:tx>
          <c:spPr>
            <a:solidFill>
              <a:srgbClr val="1e276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Data!$A$18:$A$25</c:f>
              <c:strCache>
                <c:ptCount val="8"/>
                <c:pt idx="0">
                  <c:v>Quebec</c:v>
                </c:pt>
                <c:pt idx="1">
                  <c:v>Ontario</c:v>
                </c:pt>
                <c:pt idx="2">
                  <c:v>Yukon</c:v>
                </c:pt>
                <c:pt idx="3">
                  <c:v>Nunavut</c:v>
                </c:pt>
                <c:pt idx="4">
                  <c:v>Atlantic</c:v>
                </c:pt>
                <c:pt idx="5">
                  <c:v>Prarie</c:v>
                </c:pt>
                <c:pt idx="6">
                  <c:v>West</c:v>
                </c:pt>
                <c:pt idx="7">
                  <c:v>Northwest Territories</c:v>
                </c:pt>
              </c:strCache>
            </c:strRef>
          </c:cat>
          <c:val>
            <c:numRef>
              <c:f>Data!$C$18:$C$25</c:f>
              <c:numCache>
                <c:formatCode>\$#,##0</c:formatCode>
                <c:ptCount val="8"/>
                <c:pt idx="0">
                  <c:v>12392</c:v>
                </c:pt>
                <c:pt idx="1">
                  <c:v>54811</c:v>
                </c:pt>
                <c:pt idx="2">
                  <c:v>21077</c:v>
                </c:pt>
                <c:pt idx="3">
                  <c:v>2133</c:v>
                </c:pt>
                <c:pt idx="4">
                  <c:v>31547</c:v>
                </c:pt>
                <c:pt idx="5">
                  <c:v>62232</c:v>
                </c:pt>
                <c:pt idx="6">
                  <c:v>60529</c:v>
                </c:pt>
                <c:pt idx="7">
                  <c:v>16968</c:v>
                </c:pt>
              </c:numCache>
            </c:numRef>
          </c:val>
        </c:ser>
        <c:gapWidth val="150"/>
        <c:overlap val="0"/>
        <c:axId val="33758379"/>
        <c:axId val="50024860"/>
      </c:barChart>
      <c:catAx>
        <c:axId val="33758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24860"/>
        <c:crosses val="autoZero"/>
        <c:auto val="1"/>
        <c:lblAlgn val="ctr"/>
        <c:lblOffset val="100"/>
        <c:noMultiLvlLbl val="0"/>
      </c:catAx>
      <c:valAx>
        <c:axId val="50024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($/bln)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58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70200</xdr:rowOff>
    </xdr:from>
    <xdr:to>
      <xdr:col>7</xdr:col>
      <xdr:colOff>332280</xdr:colOff>
      <xdr:row>21</xdr:row>
      <xdr:rowOff>88560</xdr:rowOff>
    </xdr:to>
    <xdr:graphicFrame>
      <xdr:nvGraphicFramePr>
        <xdr:cNvPr id="0" name="Chart 1"/>
        <xdr:cNvGraphicFramePr/>
      </xdr:nvGraphicFramePr>
      <xdr:xfrm>
        <a:off x="0" y="1523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70200</xdr:rowOff>
    </xdr:from>
    <xdr:to>
      <xdr:col>13</xdr:col>
      <xdr:colOff>48600</xdr:colOff>
      <xdr:row>21</xdr:row>
      <xdr:rowOff>88560</xdr:rowOff>
    </xdr:to>
    <xdr:graphicFrame>
      <xdr:nvGraphicFramePr>
        <xdr:cNvPr id="1" name="Chart 2"/>
        <xdr:cNvGraphicFramePr/>
      </xdr:nvGraphicFramePr>
      <xdr:xfrm>
        <a:off x="3876840" y="1523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55800</xdr:rowOff>
    </xdr:from>
    <xdr:to>
      <xdr:col>10</xdr:col>
      <xdr:colOff>166320</xdr:colOff>
      <xdr:row>37</xdr:row>
      <xdr:rowOff>88560</xdr:rowOff>
    </xdr:to>
    <xdr:graphicFrame>
      <xdr:nvGraphicFramePr>
        <xdr:cNvPr id="2" name="Chart 3"/>
        <xdr:cNvGraphicFramePr/>
      </xdr:nvGraphicFramePr>
      <xdr:xfrm>
        <a:off x="0" y="45720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n">
        <v>290670</v>
      </c>
    </row>
    <row r="7" customFormat="false" ht="15" hidden="false" customHeight="false" outlineLevel="0" collapsed="false">
      <c r="A7" s="7" t="s">
        <v>6</v>
      </c>
      <c r="B7" s="8" t="n">
        <v>368094</v>
      </c>
    </row>
    <row r="8" customFormat="false" ht="15" hidden="false" customHeight="false" outlineLevel="0" collapsed="false">
      <c r="A8" s="5" t="s">
        <v>7</v>
      </c>
      <c r="B8" s="6" t="n">
        <v>251467</v>
      </c>
    </row>
    <row r="9" customFormat="false" ht="15" hidden="false" customHeight="false" outlineLevel="0" collapsed="false">
      <c r="A9" s="7" t="s">
        <v>8</v>
      </c>
      <c r="B9" s="8" t="n">
        <v>299890</v>
      </c>
    </row>
    <row r="10" customFormat="false" ht="15" hidden="false" customHeight="false" outlineLevel="0" collapsed="false">
      <c r="A10" s="5" t="s">
        <v>9</v>
      </c>
      <c r="B10" s="6" t="n">
        <v>296036</v>
      </c>
    </row>
    <row r="11" customFormat="false" ht="15" hidden="false" customHeight="false" outlineLevel="0" collapsed="false">
      <c r="A11" s="7" t="s">
        <v>10</v>
      </c>
      <c r="B11" s="8" t="n">
        <v>288213</v>
      </c>
    </row>
    <row r="12" customFormat="false" ht="15" hidden="false" customHeight="false" outlineLevel="0" collapsed="false">
      <c r="A12" s="5" t="s">
        <v>11</v>
      </c>
      <c r="B12" s="6" t="n">
        <v>262628</v>
      </c>
    </row>
    <row r="13" customFormat="false" ht="15" hidden="false" customHeight="false" outlineLevel="0" collapsed="false">
      <c r="A13" s="7" t="s">
        <v>12</v>
      </c>
      <c r="B13" s="8" t="n">
        <v>197741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4" t="s">
        <v>14</v>
      </c>
      <c r="B17" s="4" t="s">
        <v>15</v>
      </c>
      <c r="C17" s="4" t="s">
        <v>16</v>
      </c>
      <c r="D17" s="4" t="s">
        <v>17</v>
      </c>
    </row>
    <row r="18" customFormat="false" ht="15" hidden="false" customHeight="false" outlineLevel="0" collapsed="false">
      <c r="A18" s="5" t="s">
        <v>18</v>
      </c>
      <c r="B18" s="6" t="n">
        <v>36572</v>
      </c>
      <c r="C18" s="6" t="n">
        <v>12392</v>
      </c>
      <c r="D18" s="9" t="n">
        <f aca="false">(C18-B18)/B18</f>
        <v>-0.66116154435087</v>
      </c>
    </row>
    <row r="19" customFormat="false" ht="15" hidden="false" customHeight="false" outlineLevel="0" collapsed="false">
      <c r="A19" s="7" t="s">
        <v>19</v>
      </c>
      <c r="B19" s="8" t="n">
        <v>73253</v>
      </c>
      <c r="C19" s="8" t="n">
        <v>54811</v>
      </c>
      <c r="D19" s="10" t="n">
        <f aca="false">(C19-B19)/B19</f>
        <v>-0.251757607196975</v>
      </c>
    </row>
    <row r="20" customFormat="false" ht="15" hidden="false" customHeight="false" outlineLevel="0" collapsed="false">
      <c r="A20" s="5" t="s">
        <v>20</v>
      </c>
      <c r="B20" s="6" t="n">
        <v>35593</v>
      </c>
      <c r="C20" s="6" t="n">
        <v>21077</v>
      </c>
      <c r="D20" s="9" t="n">
        <f aca="false">(C20-B20)/B20</f>
        <v>-0.407833000870958</v>
      </c>
    </row>
    <row r="21" customFormat="false" ht="15" hidden="false" customHeight="false" outlineLevel="0" collapsed="false">
      <c r="A21" s="7" t="s">
        <v>21</v>
      </c>
      <c r="B21" s="8" t="n">
        <v>9329</v>
      </c>
      <c r="C21" s="8" t="n">
        <v>2133</v>
      </c>
      <c r="D21" s="10" t="n">
        <f aca="false">(C21-B21)/B21</f>
        <v>-0.771358130560617</v>
      </c>
    </row>
    <row r="22" customFormat="false" ht="15" hidden="false" customHeight="false" outlineLevel="0" collapsed="false">
      <c r="A22" s="5" t="s">
        <v>22</v>
      </c>
      <c r="B22" s="6" t="n">
        <v>34832</v>
      </c>
      <c r="C22" s="6" t="n">
        <v>31547</v>
      </c>
      <c r="D22" s="9" t="n">
        <f aca="false">(C22-B22)/B22</f>
        <v>-0.0943098300413413</v>
      </c>
    </row>
    <row r="23" customFormat="false" ht="15" hidden="false" customHeight="false" outlineLevel="0" collapsed="false">
      <c r="A23" s="7" t="s">
        <v>23</v>
      </c>
      <c r="B23" s="8" t="n">
        <v>53922</v>
      </c>
      <c r="C23" s="8" t="n">
        <v>62232</v>
      </c>
      <c r="D23" s="10" t="n">
        <f aca="false">(C23-B23)/B23</f>
        <v>0.154111494380772</v>
      </c>
    </row>
    <row r="24" customFormat="false" ht="15" hidden="false" customHeight="false" outlineLevel="0" collapsed="false">
      <c r="A24" s="5" t="s">
        <v>24</v>
      </c>
      <c r="B24" s="6" t="n">
        <v>49809</v>
      </c>
      <c r="C24" s="6" t="n">
        <v>60529</v>
      </c>
      <c r="D24" s="9" t="n">
        <f aca="false">(C24-B24)/B24</f>
        <v>0.215222148607681</v>
      </c>
    </row>
    <row r="25" customFormat="false" ht="15" hidden="false" customHeight="false" outlineLevel="0" collapsed="false">
      <c r="A25" s="7" t="s">
        <v>25</v>
      </c>
      <c r="B25" s="8" t="n">
        <v>11554</v>
      </c>
      <c r="C25" s="8" t="n">
        <v>16968</v>
      </c>
      <c r="D25" s="10" t="n">
        <f aca="false">(C25-B25)/B25</f>
        <v>0.468582309157002</v>
      </c>
    </row>
    <row r="28" customFormat="false" ht="15" hidden="false" customHeight="false" outlineLevel="0" collapsed="false">
      <c r="A28" s="3" t="s">
        <v>26</v>
      </c>
    </row>
    <row r="29" customFormat="false" ht="15" hidden="false" customHeight="false" outlineLevel="0" collapsed="false">
      <c r="A29" s="4" t="s">
        <v>27</v>
      </c>
      <c r="B29" s="4" t="s">
        <v>15</v>
      </c>
      <c r="C29" s="4" t="s">
        <v>16</v>
      </c>
      <c r="D29" s="4" t="s">
        <v>17</v>
      </c>
    </row>
    <row r="30" customFormat="false" ht="15" hidden="false" customHeight="false" outlineLevel="0" collapsed="false">
      <c r="A30" s="5" t="s">
        <v>28</v>
      </c>
      <c r="B30" s="6" t="n">
        <v>108538</v>
      </c>
      <c r="C30" s="6" t="n">
        <v>94369</v>
      </c>
      <c r="D30" s="9" t="n">
        <f aca="false">(C30-B30)/B30</f>
        <v>-0.130544141222429</v>
      </c>
    </row>
    <row r="31" customFormat="false" ht="15" hidden="false" customHeight="false" outlineLevel="0" collapsed="false">
      <c r="A31" s="7" t="s">
        <v>29</v>
      </c>
      <c r="B31" s="8" t="n">
        <v>79210</v>
      </c>
      <c r="C31" s="8" t="n">
        <v>63344</v>
      </c>
      <c r="D31" s="10" t="n">
        <f aca="false">(C31-B31)/B31</f>
        <v>-0.200302992046459</v>
      </c>
    </row>
    <row r="32" customFormat="false" ht="15" hidden="false" customHeight="false" outlineLevel="0" collapsed="false">
      <c r="A32" s="5" t="s">
        <v>30</v>
      </c>
      <c r="B32" s="6" t="n">
        <v>114783</v>
      </c>
      <c r="C32" s="6" t="n">
        <v>103442</v>
      </c>
      <c r="D32" s="9" t="n">
        <f aca="false">(C32-B32)/B32</f>
        <v>-0.0988038298354286</v>
      </c>
    </row>
    <row r="35" customFormat="false" ht="15" hidden="false" customHeight="false" outlineLevel="0" collapsed="false">
      <c r="A35" s="3" t="s">
        <v>31</v>
      </c>
    </row>
    <row r="36" customFormat="false" ht="15" hidden="false" customHeight="false" outlineLevel="0" collapsed="false">
      <c r="A36" s="4" t="s">
        <v>32</v>
      </c>
      <c r="B36" s="4" t="s">
        <v>15</v>
      </c>
      <c r="C36" s="4" t="s">
        <v>16</v>
      </c>
    </row>
    <row r="37" customFormat="false" ht="15" hidden="false" customHeight="false" outlineLevel="0" collapsed="false">
      <c r="A37" s="5" t="s">
        <v>4</v>
      </c>
      <c r="B37" s="6" t="n">
        <v>1210122</v>
      </c>
      <c r="C37" s="6" t="n">
        <v>1044619</v>
      </c>
    </row>
    <row r="38" customFormat="false" ht="15" hidden="false" customHeight="false" outlineLevel="0" collapsed="false">
      <c r="A38" s="7" t="s">
        <v>33</v>
      </c>
      <c r="B38" s="8" t="n">
        <v>94658</v>
      </c>
      <c r="C38" s="8" t="n">
        <v>122414</v>
      </c>
    </row>
    <row r="39" customFormat="false" ht="15" hidden="false" customHeight="false" outlineLevel="0" collapsed="false">
      <c r="A39" s="5" t="s">
        <v>34</v>
      </c>
      <c r="B39" s="11" t="n">
        <v>334</v>
      </c>
      <c r="C39" s="11" t="n">
        <v>325</v>
      </c>
    </row>
    <row r="40" customFormat="false" ht="15" hidden="false" customHeight="false" outlineLevel="0" collapsed="false">
      <c r="A40" s="7" t="s">
        <v>35</v>
      </c>
      <c r="B40" s="12" t="n">
        <v>452</v>
      </c>
      <c r="C40" s="12" t="n">
        <v>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1"/>
  </cols>
  <sheetData>
    <row r="1" customFormat="false" ht="24.45" hidden="false" customHeight="false" outlineLevel="0" collapsed="false">
      <c r="A1" s="13" t="s">
        <v>36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" hidden="false" customHeight="false" outlineLevel="0" collapsed="false">
      <c r="A2" s="14" t="s">
        <v>37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5" hidden="false" customHeight="false" outlineLevel="0" collapsed="false">
      <c r="A4" s="15" t="s">
        <v>38</v>
      </c>
      <c r="B4" s="15"/>
      <c r="C4" s="15" t="s">
        <v>39</v>
      </c>
      <c r="D4" s="15"/>
      <c r="E4" s="15" t="s">
        <v>40</v>
      </c>
      <c r="F4" s="15"/>
      <c r="G4" s="15" t="s">
        <v>35</v>
      </c>
      <c r="H4" s="15"/>
      <c r="I4" s="15" t="s">
        <v>41</v>
      </c>
      <c r="J4" s="15"/>
    </row>
    <row r="5" customFormat="false" ht="15" hidden="false" customHeight="false" outlineLevel="0" collapsed="false">
      <c r="A5" s="16" t="n">
        <f aca="false">Data!C37</f>
        <v>1044619</v>
      </c>
      <c r="B5" s="16"/>
      <c r="C5" s="16" t="n">
        <f aca="false">Data!C38</f>
        <v>122414</v>
      </c>
      <c r="D5" s="16"/>
      <c r="E5" s="17" t="n">
        <f aca="false">Data!C39</f>
        <v>325</v>
      </c>
      <c r="F5" s="17"/>
      <c r="G5" s="17" t="n">
        <f aca="false">Data!C40</f>
        <v>440</v>
      </c>
      <c r="H5" s="17"/>
      <c r="I5" s="18" t="n">
        <f aca="false">(Data!C37-Data!B37)/Data!B37</f>
        <v>-0.13676554925867</v>
      </c>
      <c r="J5" s="18"/>
    </row>
    <row r="6" customFormat="false" ht="15" hidden="false" customHeight="false" outlineLevel="0" collapsed="false">
      <c r="A6" s="16"/>
      <c r="B6" s="16"/>
      <c r="C6" s="16"/>
      <c r="D6" s="16"/>
      <c r="E6" s="17"/>
      <c r="F6" s="17"/>
      <c r="G6" s="17"/>
      <c r="H6" s="17"/>
      <c r="I6" s="18"/>
      <c r="J6" s="18"/>
    </row>
    <row r="8" customFormat="false" ht="16.15" hidden="false" customHeight="false" outlineLevel="0" collapsed="false">
      <c r="A8" s="19" t="s">
        <v>42</v>
      </c>
    </row>
    <row r="41" customFormat="false" ht="16.15" hidden="false" customHeight="false" outlineLevel="0" collapsed="false">
      <c r="A41" s="19" t="s">
        <v>43</v>
      </c>
    </row>
    <row r="42" customFormat="false" ht="15" hidden="false" customHeight="true" outlineLevel="0" collapsed="false">
      <c r="A42" s="4" t="s">
        <v>44</v>
      </c>
      <c r="B42" s="4"/>
      <c r="C42" s="4" t="s">
        <v>45</v>
      </c>
      <c r="D42" s="4"/>
      <c r="E42" s="4"/>
      <c r="F42" s="4"/>
      <c r="G42" s="4"/>
      <c r="H42" s="4"/>
      <c r="I42" s="4"/>
      <c r="J42" s="4"/>
    </row>
    <row r="43" customFormat="false" ht="25.35" hidden="false" customHeight="true" outlineLevel="0" collapsed="false">
      <c r="A43" s="20" t="s">
        <v>46</v>
      </c>
      <c r="B43" s="20"/>
      <c r="C43" s="21" t="str">
        <f aca="false">INDEX(Data!A18:A25,MATCH(MIN(Data!D18:D25),Data!D18:D25,0))&amp;" ("&amp;TEXT(MIN(Data!D18:D25),"+0.0%;-0.0%")&amp;")"</f>
        <v>Nunavut (-77.1%)</v>
      </c>
      <c r="D43" s="21"/>
      <c r="E43" s="21"/>
      <c r="F43" s="21"/>
      <c r="G43" s="21"/>
      <c r="H43" s="21"/>
      <c r="I43" s="21"/>
      <c r="J43" s="21"/>
    </row>
    <row r="44" customFormat="false" ht="25.35" hidden="false" customHeight="true" outlineLevel="0" collapsed="false">
      <c r="A44" s="22" t="s">
        <v>47</v>
      </c>
      <c r="B44" s="22"/>
      <c r="C44" s="23" t="str">
        <f aca="false">INDEX(Data!A30:A32,MATCH(MIN(Data!D30:D32),Data!D30:D32,0))&amp;" ("&amp;TEXT(MIN(Data!D30:D32),"+0.0%;-0.0%")&amp;")"</f>
        <v>Office Supplies (-20.0%)</v>
      </c>
      <c r="D44" s="23"/>
      <c r="E44" s="23"/>
      <c r="F44" s="23"/>
      <c r="G44" s="23"/>
      <c r="H44" s="23"/>
      <c r="I44" s="23"/>
      <c r="J44" s="23"/>
    </row>
    <row r="45" customFormat="false" ht="25.35" hidden="false" customHeight="true" outlineLevel="0" collapsed="false">
      <c r="A45" s="20" t="s">
        <v>48</v>
      </c>
      <c r="B45" s="20"/>
      <c r="C45" s="24" t="s">
        <v>49</v>
      </c>
      <c r="D45" s="24"/>
      <c r="E45" s="24"/>
      <c r="F45" s="24"/>
      <c r="G45" s="24"/>
      <c r="H45" s="24"/>
      <c r="I45" s="24"/>
      <c r="J45" s="24"/>
    </row>
    <row r="48" customFormat="false" ht="16.15" hidden="false" customHeight="false" outlineLevel="0" collapsed="false">
      <c r="A48" s="19" t="s">
        <v>50</v>
      </c>
    </row>
    <row r="49" customFormat="false" ht="30" hidden="false" customHeight="true" outlineLevel="0" collapsed="false">
      <c r="A49" s="25" t="s">
        <v>51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30" hidden="false" customHeight="true" outlineLevel="0" collapsed="false">
      <c r="A50" s="26" t="s">
        <v>52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30" hidden="false" customHeight="true" outlineLevel="0" collapsed="false">
      <c r="A51" s="25" t="s">
        <v>53</v>
      </c>
      <c r="B51" s="25"/>
      <c r="C51" s="25"/>
      <c r="D51" s="25"/>
      <c r="E51" s="25"/>
      <c r="F51" s="25"/>
      <c r="G51" s="25"/>
      <c r="H51" s="25"/>
      <c r="I51" s="25"/>
      <c r="J51" s="25"/>
    </row>
    <row r="54" customFormat="false" ht="16.15" hidden="false" customHeight="false" outlineLevel="0" collapsed="false">
      <c r="A54" s="19" t="s">
        <v>54</v>
      </c>
    </row>
    <row r="55" customFormat="false" ht="30" hidden="false" customHeight="true" outlineLevel="0" collapsed="false">
      <c r="A55" s="22" t="s">
        <v>55</v>
      </c>
      <c r="B55" s="22"/>
      <c r="C55" s="22"/>
      <c r="D55" s="22"/>
      <c r="E55" s="22"/>
      <c r="F55" s="22"/>
      <c r="G55" s="22"/>
      <c r="H55" s="22"/>
      <c r="I55" s="22"/>
      <c r="J55" s="22"/>
    </row>
    <row r="56" customFormat="false" ht="30" hidden="false" customHeight="true" outlineLevel="0" collapsed="false">
      <c r="A56" s="27" t="s">
        <v>56</v>
      </c>
      <c r="B56" s="27"/>
      <c r="C56" s="27"/>
      <c r="D56" s="27"/>
      <c r="E56" s="27"/>
      <c r="F56" s="27"/>
      <c r="G56" s="27"/>
      <c r="H56" s="27"/>
      <c r="I56" s="27"/>
      <c r="J56" s="27"/>
    </row>
    <row r="57" customFormat="false" ht="30" hidden="false" customHeight="true" outlineLevel="0" collapsed="false">
      <c r="A57" s="28" t="s">
        <v>57</v>
      </c>
      <c r="B57" s="28"/>
      <c r="C57" s="28"/>
      <c r="D57" s="28"/>
      <c r="E57" s="28"/>
      <c r="F57" s="28"/>
      <c r="G57" s="28"/>
      <c r="H57" s="28"/>
      <c r="I57" s="28"/>
      <c r="J57" s="28"/>
    </row>
  </sheetData>
  <mergeCells count="26">
    <mergeCell ref="A1:L1"/>
    <mergeCell ref="A2:L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  <mergeCell ref="A42:B42"/>
    <mergeCell ref="C42:J42"/>
    <mergeCell ref="A43:B43"/>
    <mergeCell ref="C43:J43"/>
    <mergeCell ref="A44:B44"/>
    <mergeCell ref="C44:J44"/>
    <mergeCell ref="A45:B45"/>
    <mergeCell ref="C45:J45"/>
    <mergeCell ref="A49:J49"/>
    <mergeCell ref="A50:J50"/>
    <mergeCell ref="A51:J51"/>
    <mergeCell ref="A55:J55"/>
    <mergeCell ref="A56:J56"/>
    <mergeCell ref="A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2026-09-03T00:10:47Z</dcterms:created>
  <dc:creator>openpyxl</dc:creator>
  <dc:description/>
  <dc:language>en-US</dc:language>
  <cp:lastModifiedBy/>
  <dcterms:modified xsi:type="dcterms:W3CDTF">2026-09-03T00:10:54Z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