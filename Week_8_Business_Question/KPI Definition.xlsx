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gregat" sheetId="1" state="visible" r:id="rId3"/>
    <sheet name="KPI Defini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<sst xmlns="http://schemas.openxmlformats.org/spreadsheetml/2006/main" count="95" uniqueCount="91">
  <si>
    <t xml:space="preserve">DATA AGREGAT BULANAN (Sumber: Superstore Sales Dataset)</t>
  </si>
  <si>
    <t xml:space="preserve">Baseline = rata-rata Nov 2010–Feb 2011 | Decline = rata-rata Mar–Jun 2011</t>
  </si>
  <si>
    <t xml:space="preserve">Catatan satuan: baris 'Sales' &amp; 'Profit' = rata-rata PER BULAN ($). Baris 'Jumlah Pelanggan' &amp; 'Jumlah Order' = TOTAL selama 4 bulan (bukan rata-rata bulanan).</t>
  </si>
  <si>
    <t xml:space="preserve">Metrik</t>
  </si>
  <si>
    <t xml:space="preserve">Baseline (Nov2010-Feb2011)</t>
  </si>
  <si>
    <t xml:space="preserve">Decline (Mar-Jun2011)</t>
  </si>
  <si>
    <t xml:space="preserve">Perubahan (%)</t>
  </si>
  <si>
    <t xml:space="preserve">Total Sales (avg/bulan, $)</t>
  </si>
  <si>
    <t xml:space="preserve">Jumlah Pelanggan Unik</t>
  </si>
  <si>
    <t xml:space="preserve">Jumlah Order</t>
  </si>
  <si>
    <t xml:space="preserve">Total Profit (avg/bulan, $)</t>
  </si>
  <si>
    <t xml:space="preserve">Rata-rata Discount Rate</t>
  </si>
  <si>
    <t xml:space="preserve">Sales Wilayah Quebec (avg/bln,$)</t>
  </si>
  <si>
    <t xml:space="preserve">Sales Wilayah Ontario (avg/bln,$)</t>
  </si>
  <si>
    <t xml:space="preserve">Sales Wilayah Yukon (avg/bln,$)</t>
  </si>
  <si>
    <t xml:space="preserve">Sales Wilayah Nunavut (avg/bln,$)</t>
  </si>
  <si>
    <t xml:space="preserve">Sales Kategori Office Supplies (avg/bln,$)</t>
  </si>
  <si>
    <t xml:space="preserve">Sales Kategori Furniture (avg/bln,$)</t>
  </si>
  <si>
    <t xml:space="preserve">Sales Kategori Technology (avg/bln,$)</t>
  </si>
  <si>
    <t xml:space="preserve">Sales Sub-kategori Appliances (avg/bln,$)</t>
  </si>
  <si>
    <t xml:space="preserve">Sales Sub-kategori Envelopes (avg/bln,$)</t>
  </si>
  <si>
    <t xml:space="preserve">KPI DEFINITION TABLE</t>
  </si>
  <si>
    <t xml:space="preserve">Studi Kasus: Analisis Penurunan Penjualan — Superstore Sales Dataset</t>
  </si>
  <si>
    <t xml:space="preserve">Nilai Baseline/Decline &amp; Perubahan dihitung dari sheet 'Data Agregat' via formula (bukan angka tetap)</t>
  </si>
  <si>
    <t xml:space="preserve">KPI</t>
  </si>
  <si>
    <t xml:space="preserve">Definisi</t>
  </si>
  <si>
    <t xml:space="preserve">Rumus</t>
  </si>
  <si>
    <t xml:space="preserve">Tujuan</t>
  </si>
  <si>
    <t xml:space="preserve">Baseline</t>
  </si>
  <si>
    <t xml:space="preserve">Decline</t>
  </si>
  <si>
    <t xml:space="preserve">Total Sales</t>
  </si>
  <si>
    <t xml:space="preserve">Total nilai penjualan pada periode tertentu</t>
  </si>
  <si>
    <t xml:space="preserve">SUM(Sales)</t>
  </si>
  <si>
    <t xml:space="preserve">Mengukur performa penjualan keseluruhan</t>
  </si>
  <si>
    <t xml:space="preserve">Number of Customers</t>
  </si>
  <si>
    <t xml:space="preserve">Jumlah pelanggan unik yang bertransaksi</t>
  </si>
  <si>
    <t xml:space="preserve">COUNT(DISTINCT Customer Name)</t>
  </si>
  <si>
    <t xml:space="preserve">Mengukur apakah penurunan berasal dari berkurangnya pelanggan</t>
  </si>
  <si>
    <t xml:space="preserve">Number of Orders</t>
  </si>
  <si>
    <t xml:space="preserve">Jumlah total transaksi/pesanan</t>
  </si>
  <si>
    <t xml:space="preserve">COUNT(DISTINCT Order ID)</t>
  </si>
  <si>
    <t xml:space="preserve">Mengukur frekuensi transaksi pelanggan</t>
  </si>
  <si>
    <t xml:space="preserve">Average Order Value (AOV)</t>
  </si>
  <si>
    <t xml:space="preserve">Rata-rata nilai per transaksi</t>
  </si>
  <si>
    <t xml:space="preserve">Sales / Orders</t>
  </si>
  <si>
    <t xml:space="preserve">Mengukur apakah nilai transaksi menurun</t>
  </si>
  <si>
    <t xml:space="preserve">Profit Margin</t>
  </si>
  <si>
    <t xml:space="preserve">Persentase keuntungan terhadap penjualan</t>
  </si>
  <si>
    <t xml:space="preserve">SUM(Profit) / SUM(Sales)</t>
  </si>
  <si>
    <t xml:space="preserve">Mengukur profitabilitas, bukan hanya volume</t>
  </si>
  <si>
    <t xml:space="preserve">Discount Rate</t>
  </si>
  <si>
    <t xml:space="preserve">Rata-rata persentase diskon per transaksi</t>
  </si>
  <si>
    <t xml:space="preserve">AVG(Discount)</t>
  </si>
  <si>
    <t xml:space="preserve">Mengukur pengaruh diskon terhadap penurunan</t>
  </si>
  <si>
    <t xml:space="preserve">Sales - Quebec</t>
  </si>
  <si>
    <t xml:space="preserve">Total penjualan wilayah Quebec</t>
  </si>
  <si>
    <t xml:space="preserve">SUMIFS(Sales, Region, "Quebec")</t>
  </si>
  <si>
    <t xml:space="preserve">Mengidentifikasi kontribusi wilayah Quebec</t>
  </si>
  <si>
    <t xml:space="preserve">Sales - Ontario</t>
  </si>
  <si>
    <t xml:space="preserve">Total penjualan wilayah Ontario</t>
  </si>
  <si>
    <t xml:space="preserve">SUMIFS(Sales, Region, "Ontario")</t>
  </si>
  <si>
    <t xml:space="preserve">Mengidentifikasi kontribusi wilayah Ontario</t>
  </si>
  <si>
    <t xml:space="preserve">Sales - Yukon</t>
  </si>
  <si>
    <t xml:space="preserve">Total penjualan wilayah Yukon</t>
  </si>
  <si>
    <t xml:space="preserve">SUMIFS(Sales, Region, "Yukon")</t>
  </si>
  <si>
    <t xml:space="preserve">Mengidentifikasi kontribusi wilayah Yukon</t>
  </si>
  <si>
    <t xml:space="preserve">Sales - Nunavut</t>
  </si>
  <si>
    <t xml:space="preserve">Total penjualan wilayah Nunavut</t>
  </si>
  <si>
    <t xml:space="preserve">SUMIFS(Sales, Region, "Nunavut")</t>
  </si>
  <si>
    <t xml:space="preserve">Mengidentifikasi kontribusi wilayah Nunavut</t>
  </si>
  <si>
    <t xml:space="preserve">Sales - Office Supplies</t>
  </si>
  <si>
    <t xml:space="preserve">Total penjualan kategori Office Supplies</t>
  </si>
  <si>
    <t xml:space="preserve">SUMIFS(Sales, Category, "Office Supplies")</t>
  </si>
  <si>
    <t xml:space="preserve">Mengidentifikasi kategori penyebab penurunan</t>
  </si>
  <si>
    <t xml:space="preserve">Sales - Furniture</t>
  </si>
  <si>
    <t xml:space="preserve">Total penjualan kategori Furniture</t>
  </si>
  <si>
    <t xml:space="preserve">SUMIFS(Sales, Category, "Furniture")</t>
  </si>
  <si>
    <t xml:space="preserve">Sales - Technology</t>
  </si>
  <si>
    <t xml:space="preserve">Total penjualan kategori Technology</t>
  </si>
  <si>
    <t xml:space="preserve">SUMIFS(Sales, Category, "Technology")</t>
  </si>
  <si>
    <t xml:space="preserve">Sales - Appliances</t>
  </si>
  <si>
    <t xml:space="preserve">Total penjualan sub-kategori Appliances</t>
  </si>
  <si>
    <t xml:space="preserve">SUMIFS(Sales, SubCategory, "Appliances")</t>
  </si>
  <si>
    <t xml:space="preserve">Mengidentifikasi sub-kategori penyebab utama</t>
  </si>
  <si>
    <t xml:space="preserve">Sales - Envelopes</t>
  </si>
  <si>
    <t xml:space="preserve">Total penjualan sub-kategori Envelopes</t>
  </si>
  <si>
    <t xml:space="preserve">SUMIFS(Sales, SubCategory, "Envelopes")</t>
  </si>
  <si>
    <t xml:space="preserve">INSIGHT AWAL DARI KPI</t>
  </si>
  <si>
    <t xml:space="preserve">- Penurunan jumlah pelanggan jauh lebih kecil dibanding penurunan AOV -&gt; penurunan lebih disebabkan oleh menurunnya nilai transaksi, bukan hilangnya pelanggan.</t>
  </si>
  <si>
    <t xml:space="preserve">- Profit margin justru naik di tengah penurunan sales -&gt; bukan masalah diskon/biaya, melainkan pergeseran komposisi produk yang terjual.</t>
  </si>
  <si>
    <t xml:space="preserve">- Wilayah Quebec, Ontario, Yukon, Nunavut menyumbang mayoritas penurunan -&gt; masalah bersifat lokal, bukan menyeluruh.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</si>
</sst>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\+0.0%;\-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9"/>
      <color rgb="FFEA580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2"/>
      <color rgb="FF2563E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FFFFF"/>
        <bgColor rgb="FFEFF6FF"/>
      </patternFill>
    </fill>
    <fill>
      <patternFill patternType="solid">
        <fgColor rgb="FFEFF6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26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5" t="s">
        <v>7</v>
      </c>
      <c r="B5" s="6" t="n">
        <v>302530</v>
      </c>
      <c r="C5" s="6" t="n">
        <v>261155</v>
      </c>
      <c r="D5" s="7" t="n">
        <f aca="false">(C5-B5)/B5</f>
        <v>-0.13676329620203</v>
      </c>
    </row>
    <row r="6" customFormat="false" ht="15" hidden="false" customHeight="false" outlineLevel="0" collapsed="false">
      <c r="A6" s="8" t="s">
        <v>8</v>
      </c>
      <c r="B6" s="9" t="n">
        <v>334</v>
      </c>
      <c r="C6" s="9" t="n">
        <v>325</v>
      </c>
      <c r="D6" s="10" t="n">
        <f aca="false">(C6-B6)/B6</f>
        <v>-0.0269461077844311</v>
      </c>
    </row>
    <row r="7" customFormat="false" ht="15" hidden="false" customHeight="false" outlineLevel="0" collapsed="false">
      <c r="A7" s="5" t="s">
        <v>9</v>
      </c>
      <c r="B7" s="6" t="n">
        <v>452</v>
      </c>
      <c r="C7" s="6" t="n">
        <v>440</v>
      </c>
      <c r="D7" s="7" t="n">
        <f aca="false">(C7-B7)/B7</f>
        <v>-0.0265486725663717</v>
      </c>
    </row>
    <row r="8" customFormat="false" ht="15" hidden="false" customHeight="false" outlineLevel="0" collapsed="false">
      <c r="A8" s="8" t="s">
        <v>10</v>
      </c>
      <c r="B8" s="9" t="n">
        <v>23597</v>
      </c>
      <c r="C8" s="9" t="n">
        <v>30555</v>
      </c>
      <c r="D8" s="10" t="n">
        <f aca="false">(C8-B8)/B8</f>
        <v>0.294867991693859</v>
      </c>
    </row>
    <row r="9" customFormat="false" ht="15" hidden="false" customHeight="false" outlineLevel="0" collapsed="false">
      <c r="A9" s="5" t="s">
        <v>11</v>
      </c>
      <c r="B9" s="7" t="n">
        <v>0.048</v>
      </c>
      <c r="C9" s="7" t="n">
        <v>0.051</v>
      </c>
      <c r="D9" s="7" t="n">
        <f aca="false">(C9-B9)/B9</f>
        <v>0.0624999999999999</v>
      </c>
    </row>
    <row r="10" customFormat="false" ht="15" hidden="false" customHeight="false" outlineLevel="0" collapsed="false">
      <c r="A10" s="8" t="s">
        <v>12</v>
      </c>
      <c r="B10" s="9" t="n">
        <v>36571</v>
      </c>
      <c r="C10" s="9" t="n">
        <v>12392</v>
      </c>
      <c r="D10" s="10" t="n">
        <f aca="false">(C10-B10)/B10</f>
        <v>-0.661152279128271</v>
      </c>
    </row>
    <row r="11" customFormat="false" ht="15" hidden="false" customHeight="false" outlineLevel="0" collapsed="false">
      <c r="A11" s="5" t="s">
        <v>13</v>
      </c>
      <c r="B11" s="6" t="n">
        <v>73253</v>
      </c>
      <c r="C11" s="6" t="n">
        <v>54811</v>
      </c>
      <c r="D11" s="7" t="n">
        <f aca="false">(C11-B11)/B11</f>
        <v>-0.251757607196975</v>
      </c>
    </row>
    <row r="12" customFormat="false" ht="15" hidden="false" customHeight="false" outlineLevel="0" collapsed="false">
      <c r="A12" s="8" t="s">
        <v>14</v>
      </c>
      <c r="B12" s="9" t="n">
        <v>35593</v>
      </c>
      <c r="C12" s="9" t="n">
        <v>21077</v>
      </c>
      <c r="D12" s="10" t="n">
        <f aca="false">(C12-B12)/B12</f>
        <v>-0.407833000870958</v>
      </c>
    </row>
    <row r="13" customFormat="false" ht="15" hidden="false" customHeight="false" outlineLevel="0" collapsed="false">
      <c r="A13" s="5" t="s">
        <v>15</v>
      </c>
      <c r="B13" s="6" t="n">
        <v>9328</v>
      </c>
      <c r="C13" s="6" t="n">
        <v>2133</v>
      </c>
      <c r="D13" s="7" t="n">
        <f aca="false">(C13-B13)/B13</f>
        <v>-0.771333619210978</v>
      </c>
    </row>
    <row r="14" customFormat="false" ht="15" hidden="false" customHeight="false" outlineLevel="0" collapsed="false">
      <c r="A14" s="8" t="s">
        <v>16</v>
      </c>
      <c r="B14" s="9" t="n">
        <v>79210</v>
      </c>
      <c r="C14" s="9" t="n">
        <v>63344</v>
      </c>
      <c r="D14" s="10" t="n">
        <f aca="false">(C14-B14)/B14</f>
        <v>-0.200302992046459</v>
      </c>
    </row>
    <row r="15" customFormat="false" ht="15" hidden="false" customHeight="false" outlineLevel="0" collapsed="false">
      <c r="A15" s="5" t="s">
        <v>17</v>
      </c>
      <c r="B15" s="6" t="n">
        <v>108538</v>
      </c>
      <c r="C15" s="6" t="n">
        <v>94369</v>
      </c>
      <c r="D15" s="7" t="n">
        <f aca="false">(C15-B15)/B15</f>
        <v>-0.130544141222429</v>
      </c>
    </row>
    <row r="16" customFormat="false" ht="15" hidden="false" customHeight="false" outlineLevel="0" collapsed="false">
      <c r="A16" s="8" t="s">
        <v>18</v>
      </c>
      <c r="B16" s="9" t="n">
        <v>114783</v>
      </c>
      <c r="C16" s="9" t="n">
        <v>103441</v>
      </c>
      <c r="D16" s="10" t="n">
        <f aca="false">(C16-B16)/B16</f>
        <v>-0.0988125419269404</v>
      </c>
    </row>
    <row r="17" customFormat="false" ht="15" hidden="false" customHeight="false" outlineLevel="0" collapsed="false">
      <c r="A17" s="5" t="s">
        <v>19</v>
      </c>
      <c r="B17" s="6" t="n">
        <v>26042</v>
      </c>
      <c r="C17" s="6" t="n">
        <v>9954</v>
      </c>
      <c r="D17" s="7" t="n">
        <f aca="false">(C17-B17)/B17</f>
        <v>-0.617771292527456</v>
      </c>
    </row>
    <row r="18" customFormat="false" ht="15" hidden="false" customHeight="false" outlineLevel="0" collapsed="false">
      <c r="A18" s="8" t="s">
        <v>20</v>
      </c>
      <c r="B18" s="9" t="n">
        <v>5605</v>
      </c>
      <c r="C18" s="9" t="n">
        <v>3188</v>
      </c>
      <c r="D18" s="10" t="n">
        <f aca="false">(C18-B18)/B18</f>
        <v>-0.431222123104371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11" t="s">
        <v>22</v>
      </c>
    </row>
    <row r="3" customFormat="false" ht="15" hidden="false" customHeight="false" outlineLevel="0" collapsed="false">
      <c r="A3" s="2" t="s">
        <v>23</v>
      </c>
    </row>
    <row r="5" customFormat="false" ht="26.8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6</v>
      </c>
    </row>
    <row r="6" customFormat="false" ht="30" hidden="false" customHeight="true" outlineLevel="0" collapsed="false">
      <c r="A6" s="12" t="s">
        <v>30</v>
      </c>
      <c r="B6" s="5" t="s">
        <v>31</v>
      </c>
      <c r="C6" s="5" t="s">
        <v>32</v>
      </c>
      <c r="D6" s="5" t="s">
        <v>33</v>
      </c>
      <c r="E6" s="13" t="n">
        <f aca="false">'Data Agregat'!B5</f>
        <v>302530</v>
      </c>
      <c r="F6" s="13" t="n">
        <f aca="false">'Data Agregat'!C5</f>
        <v>261155</v>
      </c>
      <c r="G6" s="7" t="n">
        <f aca="false">(F6-E6)/E6</f>
        <v>-0.13676329620203</v>
      </c>
    </row>
    <row r="7" customFormat="false" ht="30" hidden="false" customHeight="true" outlineLevel="0" collapsed="false">
      <c r="A7" s="14" t="s">
        <v>34</v>
      </c>
      <c r="B7" s="8" t="s">
        <v>35</v>
      </c>
      <c r="C7" s="8" t="s">
        <v>36</v>
      </c>
      <c r="D7" s="8" t="s">
        <v>37</v>
      </c>
      <c r="E7" s="15" t="n">
        <f aca="false">'Data Agregat'!B6</f>
        <v>334</v>
      </c>
      <c r="F7" s="15" t="n">
        <f aca="false">'Data Agregat'!C6</f>
        <v>325</v>
      </c>
      <c r="G7" s="10" t="n">
        <f aca="false">(F7-E7)/E7</f>
        <v>-0.0269461077844311</v>
      </c>
    </row>
    <row r="8" customFormat="false" ht="30" hidden="false" customHeight="true" outlineLevel="0" collapsed="false">
      <c r="A8" s="12" t="s">
        <v>38</v>
      </c>
      <c r="B8" s="5" t="s">
        <v>39</v>
      </c>
      <c r="C8" s="5" t="s">
        <v>40</v>
      </c>
      <c r="D8" s="5" t="s">
        <v>41</v>
      </c>
      <c r="E8" s="13" t="n">
        <f aca="false">'Data Agregat'!B7</f>
        <v>452</v>
      </c>
      <c r="F8" s="13" t="n">
        <f aca="false">'Data Agregat'!C7</f>
        <v>440</v>
      </c>
      <c r="G8" s="7" t="n">
        <f aca="false">(F8-E8)/E8</f>
        <v>-0.0265486725663717</v>
      </c>
    </row>
    <row r="9" customFormat="false" ht="30" hidden="false" customHeight="true" outlineLevel="0" collapsed="false">
      <c r="A9" s="14" t="s">
        <v>42</v>
      </c>
      <c r="B9" s="8" t="s">
        <v>43</v>
      </c>
      <c r="C9" s="8" t="s">
        <v>44</v>
      </c>
      <c r="D9" s="8" t="s">
        <v>45</v>
      </c>
      <c r="E9" s="15" t="n">
        <f aca="false">('Data Agregat'!B5*4)/'Data Agregat'!B7</f>
        <v>2677.25663716814</v>
      </c>
      <c r="F9" s="15" t="n">
        <f aca="false">('Data Agregat'!C5*4)/'Data Agregat'!C7</f>
        <v>2374.13636363636</v>
      </c>
      <c r="G9" s="10" t="n">
        <f aca="false">(F9-E9)/E9</f>
        <v>-0.113220477007539</v>
      </c>
    </row>
    <row r="10" customFormat="false" ht="30" hidden="false" customHeight="true" outlineLevel="0" collapsed="false">
      <c r="A10" s="12" t="s">
        <v>46</v>
      </c>
      <c r="B10" s="5" t="s">
        <v>47</v>
      </c>
      <c r="C10" s="5" t="s">
        <v>48</v>
      </c>
      <c r="D10" s="5" t="s">
        <v>49</v>
      </c>
      <c r="E10" s="7" t="n">
        <f aca="false">'Data Agregat'!B8/'Data Agregat'!B5</f>
        <v>0.0779988761445146</v>
      </c>
      <c r="F10" s="7" t="n">
        <f aca="false">'Data Agregat'!C8/'Data Agregat'!C5</f>
        <v>0.116999483065612</v>
      </c>
      <c r="G10" s="16" t="n">
        <f aca="false">F10-E10</f>
        <v>0.0390006069210978</v>
      </c>
    </row>
    <row r="11" customFormat="false" ht="30" hidden="false" customHeight="true" outlineLevel="0" collapsed="false">
      <c r="A11" s="14" t="s">
        <v>50</v>
      </c>
      <c r="B11" s="8" t="s">
        <v>51</v>
      </c>
      <c r="C11" s="8" t="s">
        <v>52</v>
      </c>
      <c r="D11" s="8" t="s">
        <v>53</v>
      </c>
      <c r="E11" s="10" t="n">
        <f aca="false">'Data Agregat'!B9</f>
        <v>0.048</v>
      </c>
      <c r="F11" s="10" t="n">
        <f aca="false">'Data Agregat'!C9</f>
        <v>0.051</v>
      </c>
      <c r="G11" s="10" t="n">
        <f aca="false">(F11-E11)/E11</f>
        <v>0.0624999999999999</v>
      </c>
    </row>
    <row r="12" customFormat="false" ht="30" hidden="false" customHeight="true" outlineLevel="0" collapsed="false">
      <c r="A12" s="12" t="s">
        <v>54</v>
      </c>
      <c r="B12" s="5" t="s">
        <v>55</v>
      </c>
      <c r="C12" s="5" t="s">
        <v>56</v>
      </c>
      <c r="D12" s="5" t="s">
        <v>57</v>
      </c>
      <c r="E12" s="13" t="n">
        <f aca="false">'Data Agregat'!B10</f>
        <v>36571</v>
      </c>
      <c r="F12" s="13" t="n">
        <f aca="false">'Data Agregat'!C10</f>
        <v>12392</v>
      </c>
      <c r="G12" s="7" t="n">
        <f aca="false">(F12-E12)/E12</f>
        <v>-0.661152279128271</v>
      </c>
    </row>
    <row r="13" customFormat="false" ht="30" hidden="false" customHeight="true" outlineLevel="0" collapsed="false">
      <c r="A13" s="14" t="s">
        <v>58</v>
      </c>
      <c r="B13" s="8" t="s">
        <v>59</v>
      </c>
      <c r="C13" s="8" t="s">
        <v>60</v>
      </c>
      <c r="D13" s="8" t="s">
        <v>61</v>
      </c>
      <c r="E13" s="15" t="n">
        <f aca="false">'Data Agregat'!B11</f>
        <v>73253</v>
      </c>
      <c r="F13" s="15" t="n">
        <f aca="false">'Data Agregat'!C11</f>
        <v>54811</v>
      </c>
      <c r="G13" s="10" t="n">
        <f aca="false">(F13-E13)/E13</f>
        <v>-0.251757607196975</v>
      </c>
    </row>
    <row r="14" customFormat="false" ht="30" hidden="false" customHeight="true" outlineLevel="0" collapsed="false">
      <c r="A14" s="12" t="s">
        <v>62</v>
      </c>
      <c r="B14" s="5" t="s">
        <v>63</v>
      </c>
      <c r="C14" s="5" t="s">
        <v>64</v>
      </c>
      <c r="D14" s="5" t="s">
        <v>65</v>
      </c>
      <c r="E14" s="13" t="n">
        <f aca="false">'Data Agregat'!B12</f>
        <v>35593</v>
      </c>
      <c r="F14" s="13" t="n">
        <f aca="false">'Data Agregat'!C12</f>
        <v>21077</v>
      </c>
      <c r="G14" s="7" t="n">
        <f aca="false">(F14-E14)/E14</f>
        <v>-0.407833000870958</v>
      </c>
    </row>
    <row r="15" customFormat="false" ht="30" hidden="false" customHeight="true" outlineLevel="0" collapsed="false">
      <c r="A15" s="14" t="s">
        <v>66</v>
      </c>
      <c r="B15" s="8" t="s">
        <v>67</v>
      </c>
      <c r="C15" s="8" t="s">
        <v>68</v>
      </c>
      <c r="D15" s="8" t="s">
        <v>69</v>
      </c>
      <c r="E15" s="15" t="n">
        <f aca="false">'Data Agregat'!B13</f>
        <v>9328</v>
      </c>
      <c r="F15" s="15" t="n">
        <f aca="false">'Data Agregat'!C13</f>
        <v>2133</v>
      </c>
      <c r="G15" s="10" t="n">
        <f aca="false">(F15-E15)/E15</f>
        <v>-0.771333619210978</v>
      </c>
    </row>
    <row r="16" customFormat="false" ht="30" hidden="false" customHeight="true" outlineLevel="0" collapsed="false">
      <c r="A16" s="12" t="s">
        <v>70</v>
      </c>
      <c r="B16" s="5" t="s">
        <v>71</v>
      </c>
      <c r="C16" s="5" t="s">
        <v>72</v>
      </c>
      <c r="D16" s="5" t="s">
        <v>73</v>
      </c>
      <c r="E16" s="13" t="n">
        <f aca="false">'Data Agregat'!B14</f>
        <v>79210</v>
      </c>
      <c r="F16" s="13" t="n">
        <f aca="false">'Data Agregat'!C14</f>
        <v>63344</v>
      </c>
      <c r="G16" s="7" t="n">
        <f aca="false">(F16-E16)/E16</f>
        <v>-0.200302992046459</v>
      </c>
    </row>
    <row r="17" customFormat="false" ht="30" hidden="false" customHeight="true" outlineLevel="0" collapsed="false">
      <c r="A17" s="14" t="s">
        <v>74</v>
      </c>
      <c r="B17" s="8" t="s">
        <v>75</v>
      </c>
      <c r="C17" s="8" t="s">
        <v>76</v>
      </c>
      <c r="D17" s="8" t="s">
        <v>73</v>
      </c>
      <c r="E17" s="15" t="n">
        <f aca="false">'Data Agregat'!B15</f>
        <v>108538</v>
      </c>
      <c r="F17" s="15" t="n">
        <f aca="false">'Data Agregat'!C15</f>
        <v>94369</v>
      </c>
      <c r="G17" s="10" t="n">
        <f aca="false">(F17-E17)/E17</f>
        <v>-0.130544141222429</v>
      </c>
    </row>
    <row r="18" customFormat="false" ht="30" hidden="false" customHeight="true" outlineLevel="0" collapsed="false">
      <c r="A18" s="12" t="s">
        <v>77</v>
      </c>
      <c r="B18" s="5" t="s">
        <v>78</v>
      </c>
      <c r="C18" s="5" t="s">
        <v>79</v>
      </c>
      <c r="D18" s="5" t="s">
        <v>73</v>
      </c>
      <c r="E18" s="13" t="n">
        <f aca="false">'Data Agregat'!B16</f>
        <v>114783</v>
      </c>
      <c r="F18" s="13" t="n">
        <f aca="false">'Data Agregat'!C16</f>
        <v>103441</v>
      </c>
      <c r="G18" s="7" t="n">
        <f aca="false">(F18-E18)/E18</f>
        <v>-0.0988125419269404</v>
      </c>
    </row>
    <row r="19" customFormat="false" ht="30" hidden="false" customHeight="true" outlineLevel="0" collapsed="false">
      <c r="A19" s="14" t="s">
        <v>80</v>
      </c>
      <c r="B19" s="8" t="s">
        <v>81</v>
      </c>
      <c r="C19" s="8" t="s">
        <v>82</v>
      </c>
      <c r="D19" s="8" t="s">
        <v>83</v>
      </c>
      <c r="E19" s="15" t="n">
        <f aca="false">'Data Agregat'!B17</f>
        <v>26042</v>
      </c>
      <c r="F19" s="15" t="n">
        <f aca="false">'Data Agregat'!C17</f>
        <v>9954</v>
      </c>
      <c r="G19" s="10" t="n">
        <f aca="false">(F19-E19)/E19</f>
        <v>-0.617771292527456</v>
      </c>
    </row>
    <row r="20" customFormat="false" ht="30" hidden="false" customHeight="true" outlineLevel="0" collapsed="false">
      <c r="A20" s="12" t="s">
        <v>84</v>
      </c>
      <c r="B20" s="5" t="s">
        <v>85</v>
      </c>
      <c r="C20" s="5" t="s">
        <v>86</v>
      </c>
      <c r="D20" s="5" t="s">
        <v>83</v>
      </c>
      <c r="E20" s="13" t="n">
        <f aca="false">'Data Agregat'!B18</f>
        <v>5605</v>
      </c>
      <c r="F20" s="13" t="n">
        <f aca="false">'Data Agregat'!C18</f>
        <v>3188</v>
      </c>
      <c r="G20" s="7" t="n">
        <f aca="false">(F20-E20)/E20</f>
        <v>-0.431222123104371</v>
      </c>
    </row>
    <row r="22" customFormat="false" ht="15" hidden="false" customHeight="false" outlineLevel="0" collapsed="false">
      <c r="A22" s="17" t="s">
        <v>87</v>
      </c>
    </row>
    <row r="23" customFormat="false" ht="25.5" hidden="false" customHeight="true" outlineLevel="0" collapsed="false">
      <c r="A23" s="18" t="s">
        <v>88</v>
      </c>
      <c r="B23" s="18"/>
      <c r="C23" s="18"/>
      <c r="D23" s="18"/>
      <c r="E23" s="18"/>
      <c r="F23" s="18"/>
      <c r="G23" s="18"/>
    </row>
    <row r="24" customFormat="false" ht="25.5" hidden="false" customHeight="true" outlineLevel="0" collapsed="false">
      <c r="A24" s="18" t="s">
        <v>89</v>
      </c>
      <c r="B24" s="18"/>
      <c r="C24" s="18"/>
      <c r="D24" s="18"/>
      <c r="E24" s="18"/>
      <c r="F24" s="18"/>
      <c r="G24" s="18"/>
    </row>
    <row r="25" customFormat="false" ht="25.5" hidden="false" customHeight="true" outlineLevel="0" collapsed="false">
      <c r="A25" s="18" t="s">
        <v>90</v>
      </c>
      <c r="B25" s="18"/>
      <c r="C25" s="18"/>
      <c r="D25" s="18"/>
      <c r="E25" s="18"/>
      <c r="F25" s="18"/>
      <c r="G25" s="18"/>
    </row>
  </sheetData>
  <mergeCells count="3"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2026-08-20T06:53:03Z</dcterms:created>
  <dc:creator>openpyxl</dc:creator>
  <dc:description/>
  <dc:language>en-US</dc:language>
  <cp:lastModifiedBy/>
  <dcterms:modified xsi:type="dcterms:W3CDTF">2026-08-20T06:53:03Z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